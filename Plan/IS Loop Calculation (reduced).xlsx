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lb001-my.sharepoint.com/personal/mpirie02_slb_com/Documents/00.OneDrive Personal/02.Swaco Forms &amp; Documents etc/1.Electrical Engineering Documents &amp; Forms/IS Calculations/"/>
    </mc:Choice>
  </mc:AlternateContent>
  <xr:revisionPtr revIDLastSave="0" documentId="8_{49FD813A-8CC1-4FEE-986F-7B8CC889B24E}" xr6:coauthVersionLast="47" xr6:coauthVersionMax="47" xr10:uidLastSave="{00000000-0000-0000-0000-000000000000}"/>
  <bookViews>
    <workbookView xWindow="-110" yWindow="-110" windowWidth="38620" windowHeight="21100" tabRatio="973" xr2:uid="{00000000-000D-0000-FFFF-FFFF00000000}"/>
  </bookViews>
  <sheets>
    <sheet name="1" sheetId="44" r:id="rId1"/>
  </sheets>
  <externalReferences>
    <externalReference r:id="rId2"/>
  </externalReferences>
  <definedNames>
    <definedName name="NewValue" localSheetId="0">[1]Conversion!$B$1:$J$1</definedName>
    <definedName name="NewValue">#REF!</definedName>
    <definedName name="_xlnm.Print_Area" localSheetId="0">'1'!$A$1:$H$60</definedName>
    <definedName name="Values" localSheetId="0">[1]Conversion!$A$2:$A$10</definedName>
    <definedName name="Valu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3" i="44" l="1"/>
  <c r="F47" i="44" s="1"/>
  <c r="K43" i="44"/>
  <c r="E47" i="44" s="1"/>
  <c r="J43" i="44"/>
  <c r="D47" i="44" s="1"/>
  <c r="F38" i="44"/>
  <c r="F36" i="44"/>
  <c r="F29" i="44"/>
  <c r="F27" i="44"/>
  <c r="F20" i="44"/>
  <c r="F18" i="44"/>
  <c r="H45" i="44" l="1"/>
  <c r="H47" i="44" s="1"/>
  <c r="G45" i="44"/>
  <c r="G47" i="44" s="1"/>
</calcChain>
</file>

<file path=xl/sharedStrings.xml><?xml version="1.0" encoding="utf-8"?>
<sst xmlns="http://schemas.openxmlformats.org/spreadsheetml/2006/main" count="67" uniqueCount="47">
  <si>
    <t>Manufacturer</t>
  </si>
  <si>
    <t>6ES7 321-7RD00-0AB0</t>
  </si>
  <si>
    <t>IS Loop Calculation</t>
  </si>
  <si>
    <t>Barrier/Isolator detail</t>
  </si>
  <si>
    <t>Gas/Dust</t>
  </si>
  <si>
    <t>G</t>
  </si>
  <si>
    <t>Model</t>
  </si>
  <si>
    <t>Gas Group</t>
  </si>
  <si>
    <t>IIC</t>
  </si>
  <si>
    <t>Certification Code</t>
  </si>
  <si>
    <t>Uo V</t>
  </si>
  <si>
    <t>Io mA</t>
  </si>
  <si>
    <t>Po W</t>
  </si>
  <si>
    <r>
      <t xml:space="preserve">C </t>
    </r>
    <r>
      <rPr>
        <sz val="10"/>
        <rFont val="Symbol"/>
        <family val="1"/>
        <charset val="2"/>
      </rPr>
      <t>m</t>
    </r>
    <r>
      <rPr>
        <sz val="10"/>
        <rFont val="Arial"/>
        <family val="2"/>
      </rPr>
      <t>f</t>
    </r>
  </si>
  <si>
    <t>L mH</t>
  </si>
  <si>
    <t>Certificate Number</t>
  </si>
  <si>
    <t>For two channel barriers the combined voltage, current and</t>
  </si>
  <si>
    <t>power need to be calculated, refer to MTL if required.</t>
  </si>
  <si>
    <t>Cable Parameters</t>
  </si>
  <si>
    <t>Total</t>
  </si>
  <si>
    <t>Length, metres</t>
  </si>
  <si>
    <r>
      <t xml:space="preserve">Capacitance, </t>
    </r>
    <r>
      <rPr>
        <sz val="10"/>
        <rFont val="Symbol"/>
        <family val="1"/>
        <charset val="2"/>
      </rPr>
      <t>m</t>
    </r>
    <r>
      <rPr>
        <sz val="10"/>
        <rFont val="Arial"/>
        <family val="2"/>
      </rPr>
      <t>f/m</t>
    </r>
  </si>
  <si>
    <r>
      <t xml:space="preserve"> m</t>
    </r>
    <r>
      <rPr>
        <sz val="12"/>
        <rFont val="Arial"/>
        <family val="2"/>
      </rPr>
      <t>f</t>
    </r>
  </si>
  <si>
    <t>Inductance, mH/m</t>
  </si>
  <si>
    <t xml:space="preserve"> mH</t>
  </si>
  <si>
    <t>Field Equipment Detail</t>
  </si>
  <si>
    <t xml:space="preserve">          Simple Apparatus? If so enter Y</t>
  </si>
  <si>
    <t>Ui V</t>
  </si>
  <si>
    <t>Ii mA</t>
  </si>
  <si>
    <t>Pi W</t>
  </si>
  <si>
    <r>
      <t xml:space="preserve">Ci </t>
    </r>
    <r>
      <rPr>
        <sz val="10"/>
        <rFont val="Symbol"/>
        <family val="1"/>
        <charset val="2"/>
      </rPr>
      <t>m</t>
    </r>
    <r>
      <rPr>
        <sz val="10"/>
        <rFont val="Arial"/>
        <family val="2"/>
      </rPr>
      <t>f</t>
    </r>
  </si>
  <si>
    <t>Li mH</t>
  </si>
  <si>
    <t xml:space="preserve">      System suitable for:</t>
  </si>
  <si>
    <t xml:space="preserve">      Temperature rating:</t>
  </si>
  <si>
    <t>This document is provided for Customer use and assistance. However please be aware the MTL shall have no liability whatsoever in connection with this document.</t>
  </si>
  <si>
    <t>NOTES: 
Calculated for:
5mtrs internal wiring capacitance and inductance figures as per IEC 60079-14, 16.2.2.2
100mtrs Draka RFOU(i) 150/250(300)V NEK TS 606 Code S1/S5
Manufacture: Draka
Max Cable length: Calculated for 100m</t>
  </si>
  <si>
    <t>NJ 2-V3-N</t>
  </si>
  <si>
    <t>Pepperll and Fuchs</t>
  </si>
  <si>
    <t>Eex ia IIC T6</t>
  </si>
  <si>
    <t>Siemens</t>
  </si>
  <si>
    <t>GD</t>
  </si>
  <si>
    <t>II 3 G (2) GD Ex nA [ib Gb] 
[ib IIIC Db] IIC T4 Gc</t>
  </si>
  <si>
    <t>Nemko 04ATEX1233 X</t>
  </si>
  <si>
    <t>KEMA 01 ATEX 1057 X</t>
  </si>
  <si>
    <t>Tag number:
XZSH/L-001, XZSH/L-004, XZSH/L-006</t>
  </si>
  <si>
    <t>1. Valve feedback.
 P&amp;F Proximity Sensors NJ2-V3-N</t>
  </si>
  <si>
    <t>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</si>
</sst>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0.0000"/>
    <numFmt numFmtId="173" formatCode="[$-409]dd\-mmm\-yy;@"/>
    <numFmt numFmtId="175" formatCode="0.000"/>
  </numFmts>
  <fonts count="17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sz val="10"/>
      <name val="Symbol"/>
      <family val="1"/>
      <charset val="2"/>
    </font>
    <font>
      <sz val="12"/>
      <name val="Symbol"/>
      <family val="1"/>
      <charset val="2"/>
    </font>
    <font>
      <sz val="10"/>
      <color indexed="9"/>
      <name val="Arial"/>
      <family val="2"/>
    </font>
    <font>
      <sz val="14"/>
      <name val="Arial"/>
      <family val="2"/>
    </font>
    <font>
      <sz val="1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DotDot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Dot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73" fontId="4" fillId="0" borderId="0"/>
    <xf numFmtId="0" fontId="1" fillId="0" borderId="0"/>
    <xf numFmtId="173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10" fillId="0" borderId="0"/>
    <xf numFmtId="0" fontId="10" fillId="0" borderId="0"/>
  </cellStyleXfs>
  <cellXfs count="106">
    <xf numFmtId="0" fontId="0" fillId="0" borderId="0" xfId="0"/>
    <xf numFmtId="0" fontId="4" fillId="0" borderId="0" xfId="5"/>
    <xf numFmtId="0" fontId="9" fillId="4" borderId="1" xfId="5" applyFont="1" applyFill="1" applyBorder="1"/>
    <xf numFmtId="0" fontId="4" fillId="4" borderId="14" xfId="5" applyFill="1" applyBorder="1"/>
    <xf numFmtId="0" fontId="4" fillId="4" borderId="0" xfId="5" applyFill="1" applyAlignment="1">
      <alignment vertical="top"/>
    </xf>
    <xf numFmtId="0" fontId="4" fillId="4" borderId="13" xfId="5" applyFill="1" applyBorder="1"/>
    <xf numFmtId="0" fontId="4" fillId="4" borderId="0" xfId="5" applyFill="1"/>
    <xf numFmtId="0" fontId="4" fillId="4" borderId="2" xfId="5" applyFill="1" applyBorder="1"/>
    <xf numFmtId="0" fontId="4" fillId="0" borderId="16" xfId="5" applyBorder="1"/>
    <xf numFmtId="0" fontId="4" fillId="4" borderId="1" xfId="5" applyFill="1" applyBorder="1"/>
    <xf numFmtId="0" fontId="11" fillId="4" borderId="9" xfId="5" applyFont="1" applyFill="1" applyBorder="1"/>
    <xf numFmtId="0" fontId="11" fillId="4" borderId="13" xfId="5" applyFont="1" applyFill="1" applyBorder="1" applyAlignment="1">
      <alignment horizontal="center"/>
    </xf>
    <xf numFmtId="0" fontId="4" fillId="5" borderId="9" xfId="5" applyFill="1" applyBorder="1"/>
    <xf numFmtId="0" fontId="4" fillId="6" borderId="9" xfId="5" applyFill="1" applyBorder="1"/>
    <xf numFmtId="0" fontId="4" fillId="6" borderId="17" xfId="5" applyFill="1" applyBorder="1"/>
    <xf numFmtId="175" fontId="11" fillId="5" borderId="9" xfId="5" applyNumberFormat="1" applyFont="1" applyFill="1" applyBorder="1"/>
    <xf numFmtId="175" fontId="11" fillId="3" borderId="9" xfId="5" applyNumberFormat="1" applyFont="1" applyFill="1" applyBorder="1"/>
    <xf numFmtId="175" fontId="11" fillId="3" borderId="17" xfId="5" applyNumberFormat="1" applyFont="1" applyFill="1" applyBorder="1"/>
    <xf numFmtId="0" fontId="11" fillId="4" borderId="14" xfId="5" applyFont="1" applyFill="1" applyBorder="1"/>
    <xf numFmtId="175" fontId="4" fillId="5" borderId="13" xfId="5" applyNumberFormat="1" applyFill="1" applyBorder="1"/>
    <xf numFmtId="175" fontId="4" fillId="5" borderId="0" xfId="5" applyNumberFormat="1" applyFill="1"/>
    <xf numFmtId="175" fontId="4" fillId="5" borderId="2" xfId="5" applyNumberFormat="1" applyFill="1" applyBorder="1"/>
    <xf numFmtId="0" fontId="4" fillId="4" borderId="18" xfId="5" applyFill="1" applyBorder="1"/>
    <xf numFmtId="0" fontId="4" fillId="4" borderId="19" xfId="5" applyFill="1" applyBorder="1"/>
    <xf numFmtId="0" fontId="4" fillId="4" borderId="15" xfId="5" applyFill="1" applyBorder="1"/>
    <xf numFmtId="0" fontId="4" fillId="5" borderId="20" xfId="5" applyFill="1" applyBorder="1"/>
    <xf numFmtId="0" fontId="4" fillId="5" borderId="15" xfId="5" applyFill="1" applyBorder="1"/>
    <xf numFmtId="0" fontId="4" fillId="5" borderId="21" xfId="5" applyFill="1" applyBorder="1"/>
    <xf numFmtId="0" fontId="4" fillId="7" borderId="1" xfId="5" applyFill="1" applyBorder="1"/>
    <xf numFmtId="0" fontId="4" fillId="7" borderId="14" xfId="5" applyFill="1" applyBorder="1"/>
    <xf numFmtId="0" fontId="4" fillId="7" borderId="0" xfId="5" applyFill="1"/>
    <xf numFmtId="0" fontId="4" fillId="7" borderId="13" xfId="5" applyFill="1" applyBorder="1"/>
    <xf numFmtId="0" fontId="4" fillId="7" borderId="2" xfId="5" applyFill="1" applyBorder="1"/>
    <xf numFmtId="0" fontId="9" fillId="7" borderId="1" xfId="5" applyFont="1" applyFill="1" applyBorder="1"/>
    <xf numFmtId="0" fontId="11" fillId="7" borderId="0" xfId="5" applyFont="1" applyFill="1" applyAlignment="1">
      <alignment horizontal="center"/>
    </xf>
    <xf numFmtId="0" fontId="11" fillId="7" borderId="9" xfId="5" applyFont="1" applyFill="1" applyBorder="1"/>
    <xf numFmtId="0" fontId="13" fillId="7" borderId="0" xfId="5" applyFont="1" applyFill="1"/>
    <xf numFmtId="0" fontId="11" fillId="7" borderId="0" xfId="5" applyFont="1" applyFill="1"/>
    <xf numFmtId="0" fontId="4" fillId="7" borderId="22" xfId="5" applyFill="1" applyBorder="1"/>
    <xf numFmtId="0" fontId="4" fillId="7" borderId="11" xfId="5" applyFill="1" applyBorder="1"/>
    <xf numFmtId="0" fontId="4" fillId="7" borderId="23" xfId="5" applyFill="1" applyBorder="1"/>
    <xf numFmtId="0" fontId="4" fillId="7" borderId="10" xfId="5" applyFill="1" applyBorder="1"/>
    <xf numFmtId="0" fontId="4" fillId="7" borderId="12" xfId="5" applyFill="1" applyBorder="1"/>
    <xf numFmtId="0" fontId="4" fillId="7" borderId="24" xfId="5" applyFill="1" applyBorder="1"/>
    <xf numFmtId="0" fontId="4" fillId="7" borderId="25" xfId="5" applyFill="1" applyBorder="1"/>
    <xf numFmtId="0" fontId="4" fillId="7" borderId="18" xfId="5" applyFill="1" applyBorder="1"/>
    <xf numFmtId="0" fontId="4" fillId="7" borderId="19" xfId="5" applyFill="1" applyBorder="1"/>
    <xf numFmtId="0" fontId="4" fillId="7" borderId="26" xfId="5" applyFill="1" applyBorder="1"/>
    <xf numFmtId="0" fontId="4" fillId="7" borderId="20" xfId="5" applyFill="1" applyBorder="1"/>
    <xf numFmtId="0" fontId="4" fillId="7" borderId="15" xfId="5" applyFill="1" applyBorder="1"/>
    <xf numFmtId="0" fontId="4" fillId="7" borderId="21" xfId="5" applyFill="1" applyBorder="1"/>
    <xf numFmtId="0" fontId="4" fillId="8" borderId="1" xfId="5" applyFill="1" applyBorder="1"/>
    <xf numFmtId="0" fontId="4" fillId="8" borderId="14" xfId="5" applyFill="1" applyBorder="1"/>
    <xf numFmtId="0" fontId="4" fillId="8" borderId="0" xfId="5" applyFill="1"/>
    <xf numFmtId="0" fontId="4" fillId="8" borderId="13" xfId="5" applyFill="1" applyBorder="1"/>
    <xf numFmtId="0" fontId="4" fillId="8" borderId="2" xfId="5" applyFill="1" applyBorder="1"/>
    <xf numFmtId="0" fontId="9" fillId="8" borderId="1" xfId="5" applyFont="1" applyFill="1" applyBorder="1"/>
    <xf numFmtId="0" fontId="5" fillId="8" borderId="13" xfId="5" applyFont="1" applyFill="1" applyBorder="1"/>
    <xf numFmtId="0" fontId="2" fillId="8" borderId="0" xfId="5" applyFont="1" applyFill="1"/>
    <xf numFmtId="0" fontId="4" fillId="8" borderId="17" xfId="5" applyFill="1" applyBorder="1" applyAlignment="1">
      <alignment horizontal="center"/>
    </xf>
    <xf numFmtId="0" fontId="4" fillId="8" borderId="9" xfId="5" applyFill="1" applyBorder="1"/>
    <xf numFmtId="0" fontId="4" fillId="8" borderId="17" xfId="5" applyFill="1" applyBorder="1"/>
    <xf numFmtId="0" fontId="11" fillId="8" borderId="9" xfId="5" applyFont="1" applyFill="1" applyBorder="1"/>
    <xf numFmtId="0" fontId="11" fillId="8" borderId="17" xfId="5" applyFont="1" applyFill="1" applyBorder="1"/>
    <xf numFmtId="0" fontId="14" fillId="0" borderId="0" xfId="5" applyFont="1"/>
    <xf numFmtId="0" fontId="7" fillId="0" borderId="0" xfId="5" applyFont="1"/>
    <xf numFmtId="0" fontId="15" fillId="8" borderId="0" xfId="5" applyFont="1" applyFill="1"/>
    <xf numFmtId="0" fontId="15" fillId="8" borderId="2" xfId="5" applyFont="1" applyFill="1" applyBorder="1"/>
    <xf numFmtId="0" fontId="2" fillId="8" borderId="27" xfId="5" applyFont="1" applyFill="1" applyBorder="1"/>
    <xf numFmtId="0" fontId="4" fillId="8" borderId="4" xfId="5" applyFill="1" applyBorder="1"/>
    <xf numFmtId="0" fontId="4" fillId="8" borderId="28" xfId="5" applyFill="1" applyBorder="1"/>
    <xf numFmtId="0" fontId="4" fillId="8" borderId="5" xfId="5" applyFill="1" applyBorder="1"/>
    <xf numFmtId="0" fontId="4" fillId="8" borderId="29" xfId="5" applyFill="1" applyBorder="1"/>
    <xf numFmtId="0" fontId="11" fillId="8" borderId="5" xfId="5" applyFont="1" applyFill="1" applyBorder="1"/>
    <xf numFmtId="0" fontId="4" fillId="8" borderId="3" xfId="5" applyFill="1" applyBorder="1"/>
    <xf numFmtId="0" fontId="4" fillId="2" borderId="6" xfId="5" applyFill="1" applyBorder="1"/>
    <xf numFmtId="0" fontId="4" fillId="2" borderId="8" xfId="5" applyFill="1" applyBorder="1"/>
    <xf numFmtId="0" fontId="4" fillId="2" borderId="7" xfId="5" applyFill="1" applyBorder="1"/>
    <xf numFmtId="0" fontId="16" fillId="2" borderId="30" xfId="5" applyFont="1" applyFill="1" applyBorder="1"/>
    <xf numFmtId="0" fontId="4" fillId="2" borderId="0" xfId="5" applyFill="1"/>
    <xf numFmtId="0" fontId="6" fillId="0" borderId="27" xfId="5" applyFont="1" applyBorder="1" applyAlignment="1">
      <alignment horizontal="center"/>
    </xf>
    <xf numFmtId="0" fontId="16" fillId="2" borderId="0" xfId="5" applyFont="1" applyFill="1"/>
    <xf numFmtId="0" fontId="16" fillId="2" borderId="2" xfId="5" applyFont="1" applyFill="1" applyBorder="1"/>
    <xf numFmtId="0" fontId="16" fillId="2" borderId="1" xfId="5" applyFont="1" applyFill="1" applyBorder="1"/>
    <xf numFmtId="0" fontId="11" fillId="4" borderId="1" xfId="5" applyFont="1" applyFill="1" applyBorder="1"/>
    <xf numFmtId="0" fontId="2" fillId="4" borderId="0" xfId="5" applyFont="1" applyFill="1"/>
    <xf numFmtId="0" fontId="11" fillId="4" borderId="4" xfId="5" applyFont="1" applyFill="1" applyBorder="1"/>
    <xf numFmtId="0" fontId="4" fillId="4" borderId="5" xfId="5" applyFill="1" applyBorder="1"/>
    <xf numFmtId="0" fontId="4" fillId="0" borderId="13" xfId="5" applyBorder="1"/>
    <xf numFmtId="0" fontId="4" fillId="0" borderId="14" xfId="5" applyBorder="1"/>
    <xf numFmtId="0" fontId="11" fillId="4" borderId="9" xfId="5" applyFont="1" applyFill="1" applyBorder="1" applyAlignment="1">
      <alignment wrapText="1"/>
    </xf>
    <xf numFmtId="164" fontId="11" fillId="5" borderId="9" xfId="5" applyNumberFormat="1" applyFont="1" applyFill="1" applyBorder="1"/>
    <xf numFmtId="0" fontId="8" fillId="0" borderId="33" xfId="5" applyFont="1" applyBorder="1" applyAlignment="1">
      <alignment horizontal="center" vertical="center"/>
    </xf>
    <xf numFmtId="0" fontId="4" fillId="0" borderId="33" xfId="5" applyBorder="1" applyAlignment="1">
      <alignment horizontal="center" wrapText="1"/>
    </xf>
    <xf numFmtId="0" fontId="4" fillId="0" borderId="34" xfId="5" applyBorder="1" applyAlignment="1">
      <alignment horizontal="center" wrapText="1"/>
    </xf>
    <xf numFmtId="0" fontId="3" fillId="2" borderId="4" xfId="5" applyFont="1" applyFill="1" applyBorder="1" applyAlignment="1">
      <alignment horizontal="center"/>
    </xf>
    <xf numFmtId="0" fontId="3" fillId="2" borderId="5" xfId="5" applyFont="1" applyFill="1" applyBorder="1" applyAlignment="1">
      <alignment horizontal="center"/>
    </xf>
    <xf numFmtId="0" fontId="3" fillId="2" borderId="3" xfId="5" applyFont="1" applyFill="1" applyBorder="1" applyAlignment="1">
      <alignment horizontal="center"/>
    </xf>
    <xf numFmtId="0" fontId="11" fillId="9" borderId="1" xfId="5" applyFont="1" applyFill="1" applyBorder="1" applyAlignment="1">
      <alignment horizontal="left" vertical="top" wrapText="1"/>
    </xf>
    <xf numFmtId="0" fontId="11" fillId="9" borderId="0" xfId="5" applyFont="1" applyFill="1" applyAlignment="1">
      <alignment horizontal="left" vertical="top" wrapText="1"/>
    </xf>
    <xf numFmtId="0" fontId="11" fillId="9" borderId="2" xfId="5" applyFont="1" applyFill="1" applyBorder="1" applyAlignment="1">
      <alignment horizontal="left" vertical="top" wrapText="1"/>
    </xf>
    <xf numFmtId="0" fontId="11" fillId="9" borderId="4" xfId="5" applyFont="1" applyFill="1" applyBorder="1" applyAlignment="1">
      <alignment horizontal="left" vertical="top" wrapText="1"/>
    </xf>
    <xf numFmtId="0" fontId="11" fillId="9" borderId="5" xfId="5" applyFont="1" applyFill="1" applyBorder="1" applyAlignment="1">
      <alignment horizontal="left" vertical="top" wrapText="1"/>
    </xf>
    <xf numFmtId="0" fontId="11" fillId="9" borderId="3" xfId="5" applyFont="1" applyFill="1" applyBorder="1" applyAlignment="1">
      <alignment horizontal="left" vertical="top" wrapText="1"/>
    </xf>
    <xf numFmtId="0" fontId="9" fillId="0" borderId="31" xfId="5" applyFont="1" applyBorder="1" applyAlignment="1">
      <alignment horizontal="left" vertical="center" wrapText="1"/>
    </xf>
    <xf numFmtId="0" fontId="8" fillId="0" borderId="32" xfId="5" applyFont="1" applyBorder="1" applyAlignment="1">
      <alignment horizontal="left" vertical="center" wrapText="1"/>
    </xf>
  </cellXfs>
  <cellStyles count="9">
    <cellStyle name="Currency 2" xfId="6" xr:uid="{00000000-0005-0000-0000-000000000000}"/>
    <cellStyle name="Normal" xfId="0" builtinId="0"/>
    <cellStyle name="Normal 2" xfId="5" xr:uid="{00000000-0005-0000-0000-000003000000}"/>
    <cellStyle name="Normal 2 2" xfId="3" xr:uid="{00000000-0005-0000-0000-000004000000}"/>
    <cellStyle name="Normal 22" xfId="8" xr:uid="{00000000-0005-0000-0000-000005000000}"/>
    <cellStyle name="Normal 260" xfId="4" xr:uid="{00000000-0005-0000-0000-000006000000}"/>
    <cellStyle name="Normal 3" xfId="7" xr:uid="{00000000-0005-0000-0000-000007000000}"/>
    <cellStyle name="Normal 5" xfId="2" xr:uid="{00000000-0005-0000-0000-000008000000}"/>
    <cellStyle name="Normal 6" xfId="1" xr:uid="{00000000-0005-0000-0000-000009000000}"/>
  </cellStyles>
  <dxfs count="5">
    <dxf>
      <font>
        <b/>
        <i val="0"/>
        <strike/>
        <condense val="0"/>
        <extend val="0"/>
        <color indexed="53"/>
      </font>
      <fill>
        <patternFill patternType="solid">
          <bgColor indexed="43"/>
        </patternFill>
      </fill>
    </dxf>
    <dxf>
      <font>
        <b/>
        <i val="0"/>
        <condense val="0"/>
        <extend val="0"/>
      </font>
      <fill>
        <patternFill patternType="solid">
          <bgColor indexed="43"/>
        </patternFill>
      </fill>
    </dxf>
    <dxf>
      <font>
        <b/>
        <i val="0"/>
        <strike/>
        <condense val="0"/>
        <extend val="0"/>
        <color indexed="53"/>
      </font>
      <fill>
        <patternFill patternType="solid">
          <bgColor indexed="43"/>
        </patternFill>
      </fill>
    </dxf>
    <dxf>
      <font>
        <b/>
        <i val="0"/>
        <condense val="0"/>
        <extend val="0"/>
        <color indexed="8"/>
      </font>
      <fill>
        <patternFill patternType="solid">
          <bgColor indexed="43"/>
        </patternFill>
      </fill>
    </dxf>
    <dxf>
      <fill>
        <patternFill>
          <bgColor indexed="42"/>
        </patternFill>
      </fill>
    </dxf>
  </dxfs>
  <tableStyles count="0" defaultTableStyle="TableStyleMedium2" defaultPivotStyle="PivotStyleLight16"/>
  <colors>
    <mruColors>
      <color rgb="FF0000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40</xdr:row>
      <xdr:rowOff>152400</xdr:rowOff>
    </xdr:from>
    <xdr:to>
      <xdr:col>2</xdr:col>
      <xdr:colOff>1828800</xdr:colOff>
      <xdr:row>48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4236204-6A59-44AE-8B99-1404788A157B}"/>
            </a:ext>
          </a:extLst>
        </xdr:cNvPr>
        <xdr:cNvSpPr>
          <a:spLocks noChangeArrowheads="1"/>
        </xdr:cNvSpPr>
      </xdr:nvSpPr>
      <xdr:spPr bwMode="auto">
        <a:xfrm>
          <a:off x="3514725" y="9020175"/>
          <a:ext cx="1666875" cy="1600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152400</xdr:colOff>
      <xdr:row>40</xdr:row>
      <xdr:rowOff>142875</xdr:rowOff>
    </xdr:from>
    <xdr:to>
      <xdr:col>2</xdr:col>
      <xdr:colOff>1838325</xdr:colOff>
      <xdr:row>48</xdr:row>
      <xdr:rowOff>38100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E0B86415-DC8E-45FF-81ED-008E3A1A63E7}"/>
            </a:ext>
          </a:extLst>
        </xdr:cNvPr>
        <xdr:cNvSpPr>
          <a:spLocks noChangeShapeType="1"/>
        </xdr:cNvSpPr>
      </xdr:nvSpPr>
      <xdr:spPr bwMode="auto">
        <a:xfrm flipV="1">
          <a:off x="3505200" y="9010650"/>
          <a:ext cx="1685925" cy="1609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200025</xdr:colOff>
      <xdr:row>3</xdr:row>
      <xdr:rowOff>152400</xdr:rowOff>
    </xdr:from>
    <xdr:to>
      <xdr:col>2</xdr:col>
      <xdr:colOff>1828800</xdr:colOff>
      <xdr:row>10</xdr:row>
      <xdr:rowOff>66675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72FAE452-598A-4A7F-A6C5-EDE36349C6F9}"/>
            </a:ext>
          </a:extLst>
        </xdr:cNvPr>
        <xdr:cNvSpPr>
          <a:spLocks noChangeArrowheads="1"/>
        </xdr:cNvSpPr>
      </xdr:nvSpPr>
      <xdr:spPr bwMode="auto">
        <a:xfrm>
          <a:off x="3552825" y="1323975"/>
          <a:ext cx="1628775" cy="1362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200025</xdr:colOff>
      <xdr:row>3</xdr:row>
      <xdr:rowOff>161925</xdr:rowOff>
    </xdr:from>
    <xdr:to>
      <xdr:col>2</xdr:col>
      <xdr:colOff>1828800</xdr:colOff>
      <xdr:row>10</xdr:row>
      <xdr:rowOff>66675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3FC872E6-A90B-450F-849B-C30C5894F555}"/>
            </a:ext>
          </a:extLst>
        </xdr:cNvPr>
        <xdr:cNvSpPr>
          <a:spLocks noChangeShapeType="1"/>
        </xdr:cNvSpPr>
      </xdr:nvSpPr>
      <xdr:spPr bwMode="auto">
        <a:xfrm flipV="1">
          <a:off x="3552825" y="1333500"/>
          <a:ext cx="1628775" cy="1352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638175</xdr:colOff>
      <xdr:row>10</xdr:row>
      <xdr:rowOff>66675</xdr:rowOff>
    </xdr:from>
    <xdr:to>
      <xdr:col>2</xdr:col>
      <xdr:colOff>657225</xdr:colOff>
      <xdr:row>40</xdr:row>
      <xdr:rowOff>152400</xdr:rowOff>
    </xdr:to>
    <xdr:sp macro="" textlink="">
      <xdr:nvSpPr>
        <xdr:cNvPr id="6" name="Line 6">
          <a:extLst>
            <a:ext uri="{FF2B5EF4-FFF2-40B4-BE49-F238E27FC236}">
              <a16:creationId xmlns:a16="http://schemas.microsoft.com/office/drawing/2014/main" id="{DDE1E82F-2570-4C24-A8DF-5F8EF8ADD113}"/>
            </a:ext>
          </a:extLst>
        </xdr:cNvPr>
        <xdr:cNvSpPr>
          <a:spLocks noChangeShapeType="1"/>
        </xdr:cNvSpPr>
      </xdr:nvSpPr>
      <xdr:spPr bwMode="auto">
        <a:xfrm flipH="1">
          <a:off x="3990975" y="2686050"/>
          <a:ext cx="19050" cy="6334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1362075</xdr:colOff>
      <xdr:row>10</xdr:row>
      <xdr:rowOff>66675</xdr:rowOff>
    </xdr:from>
    <xdr:to>
      <xdr:col>2</xdr:col>
      <xdr:colOff>1362075</xdr:colOff>
      <xdr:row>40</xdr:row>
      <xdr:rowOff>152400</xdr:rowOff>
    </xdr:to>
    <xdr:sp macro="" textlink="">
      <xdr:nvSpPr>
        <xdr:cNvPr id="7" name="Line 7">
          <a:extLst>
            <a:ext uri="{FF2B5EF4-FFF2-40B4-BE49-F238E27FC236}">
              <a16:creationId xmlns:a16="http://schemas.microsoft.com/office/drawing/2014/main" id="{E7A45E20-0D76-4B70-8EBD-1D7F1EF3A616}"/>
            </a:ext>
          </a:extLst>
        </xdr:cNvPr>
        <xdr:cNvSpPr>
          <a:spLocks noChangeShapeType="1"/>
        </xdr:cNvSpPr>
      </xdr:nvSpPr>
      <xdr:spPr bwMode="auto">
        <a:xfrm flipH="1">
          <a:off x="4714875" y="2686050"/>
          <a:ext cx="0" cy="6334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495300</xdr:colOff>
      <xdr:row>19</xdr:row>
      <xdr:rowOff>180975</xdr:rowOff>
    </xdr:from>
    <xdr:to>
      <xdr:col>2</xdr:col>
      <xdr:colOff>800100</xdr:colOff>
      <xdr:row>22</xdr:row>
      <xdr:rowOff>19050</xdr:rowOff>
    </xdr:to>
    <xdr:sp macro="" textlink="">
      <xdr:nvSpPr>
        <xdr:cNvPr id="8" name="Rectangle 9">
          <a:extLst>
            <a:ext uri="{FF2B5EF4-FFF2-40B4-BE49-F238E27FC236}">
              <a16:creationId xmlns:a16="http://schemas.microsoft.com/office/drawing/2014/main" id="{8E33AD78-347D-4430-B0B8-2633E9EDE789}"/>
            </a:ext>
          </a:extLst>
        </xdr:cNvPr>
        <xdr:cNvSpPr>
          <a:spLocks noChangeArrowheads="1"/>
        </xdr:cNvSpPr>
      </xdr:nvSpPr>
      <xdr:spPr bwMode="auto">
        <a:xfrm>
          <a:off x="3848100" y="4762500"/>
          <a:ext cx="304800" cy="400050"/>
        </a:xfrm>
        <a:prstGeom prst="rect">
          <a:avLst/>
        </a:prstGeom>
        <a:noFill/>
        <a:ln w="9525">
          <a:solidFill>
            <a:srgbClr val="000000"/>
          </a:solidFill>
          <a:prstDash val="sysDot"/>
          <a:miter lim="800000"/>
          <a:headEnd/>
          <a:tailEnd/>
        </a:ln>
      </xdr:spPr>
    </xdr:sp>
    <xdr:clientData/>
  </xdr:twoCellAnchor>
  <xdr:twoCellAnchor>
    <xdr:from>
      <xdr:col>2</xdr:col>
      <xdr:colOff>1200150</xdr:colOff>
      <xdr:row>19</xdr:row>
      <xdr:rowOff>180975</xdr:rowOff>
    </xdr:from>
    <xdr:to>
      <xdr:col>2</xdr:col>
      <xdr:colOff>1504950</xdr:colOff>
      <xdr:row>22</xdr:row>
      <xdr:rowOff>19050</xdr:rowOff>
    </xdr:to>
    <xdr:sp macro="" textlink="">
      <xdr:nvSpPr>
        <xdr:cNvPr id="9" name="Rectangle 10">
          <a:extLst>
            <a:ext uri="{FF2B5EF4-FFF2-40B4-BE49-F238E27FC236}">
              <a16:creationId xmlns:a16="http://schemas.microsoft.com/office/drawing/2014/main" id="{00FBCF33-C1A8-49D2-9963-753F6BE672AB}"/>
            </a:ext>
          </a:extLst>
        </xdr:cNvPr>
        <xdr:cNvSpPr>
          <a:spLocks noChangeArrowheads="1"/>
        </xdr:cNvSpPr>
      </xdr:nvSpPr>
      <xdr:spPr bwMode="auto">
        <a:xfrm>
          <a:off x="4552950" y="4762500"/>
          <a:ext cx="304800" cy="400050"/>
        </a:xfrm>
        <a:prstGeom prst="rect">
          <a:avLst/>
        </a:prstGeom>
        <a:noFill/>
        <a:ln w="9525">
          <a:solidFill>
            <a:srgbClr val="000000"/>
          </a:solidFill>
          <a:prstDash val="sysDot"/>
          <a:miter lim="800000"/>
          <a:headEnd/>
          <a:tailEnd/>
        </a:ln>
      </xdr:spPr>
    </xdr:sp>
    <xdr:clientData/>
  </xdr:twoCellAnchor>
  <xdr:twoCellAnchor>
    <xdr:from>
      <xdr:col>2</xdr:col>
      <xdr:colOff>485775</xdr:colOff>
      <xdr:row>28</xdr:row>
      <xdr:rowOff>219075</xdr:rowOff>
    </xdr:from>
    <xdr:to>
      <xdr:col>2</xdr:col>
      <xdr:colOff>790575</xdr:colOff>
      <xdr:row>31</xdr:row>
      <xdr:rowOff>47625</xdr:rowOff>
    </xdr:to>
    <xdr:sp macro="" textlink="">
      <xdr:nvSpPr>
        <xdr:cNvPr id="10" name="Rectangle 11">
          <a:extLst>
            <a:ext uri="{FF2B5EF4-FFF2-40B4-BE49-F238E27FC236}">
              <a16:creationId xmlns:a16="http://schemas.microsoft.com/office/drawing/2014/main" id="{70CCB0EF-E79E-47B5-AA26-0B0A928B6A76}"/>
            </a:ext>
          </a:extLst>
        </xdr:cNvPr>
        <xdr:cNvSpPr>
          <a:spLocks noChangeArrowheads="1"/>
        </xdr:cNvSpPr>
      </xdr:nvSpPr>
      <xdr:spPr bwMode="auto">
        <a:xfrm>
          <a:off x="3838575" y="6619875"/>
          <a:ext cx="304800" cy="400050"/>
        </a:xfrm>
        <a:prstGeom prst="rect">
          <a:avLst/>
        </a:prstGeom>
        <a:noFill/>
        <a:ln w="9525">
          <a:solidFill>
            <a:srgbClr val="000000"/>
          </a:solidFill>
          <a:prstDash val="sysDot"/>
          <a:miter lim="800000"/>
          <a:headEnd/>
          <a:tailEnd/>
        </a:ln>
      </xdr:spPr>
    </xdr:sp>
    <xdr:clientData/>
  </xdr:twoCellAnchor>
  <xdr:twoCellAnchor>
    <xdr:from>
      <xdr:col>2</xdr:col>
      <xdr:colOff>1190625</xdr:colOff>
      <xdr:row>28</xdr:row>
      <xdr:rowOff>219075</xdr:rowOff>
    </xdr:from>
    <xdr:to>
      <xdr:col>2</xdr:col>
      <xdr:colOff>1495425</xdr:colOff>
      <xdr:row>31</xdr:row>
      <xdr:rowOff>47625</xdr:rowOff>
    </xdr:to>
    <xdr:sp macro="" textlink="">
      <xdr:nvSpPr>
        <xdr:cNvPr id="11" name="Rectangle 12">
          <a:extLst>
            <a:ext uri="{FF2B5EF4-FFF2-40B4-BE49-F238E27FC236}">
              <a16:creationId xmlns:a16="http://schemas.microsoft.com/office/drawing/2014/main" id="{7C04A672-0027-4EE7-A1BC-1751CAD8EC6C}"/>
            </a:ext>
          </a:extLst>
        </xdr:cNvPr>
        <xdr:cNvSpPr>
          <a:spLocks noChangeArrowheads="1"/>
        </xdr:cNvSpPr>
      </xdr:nvSpPr>
      <xdr:spPr bwMode="auto">
        <a:xfrm>
          <a:off x="4543425" y="6619875"/>
          <a:ext cx="304800" cy="400050"/>
        </a:xfrm>
        <a:prstGeom prst="rect">
          <a:avLst/>
        </a:prstGeom>
        <a:noFill/>
        <a:ln w="9525">
          <a:solidFill>
            <a:srgbClr val="000000"/>
          </a:solidFill>
          <a:prstDash val="sysDot"/>
          <a:miter lim="800000"/>
          <a:headEnd/>
          <a:tailEnd/>
        </a:ln>
      </xdr:spPr>
    </xdr:sp>
    <xdr:clientData/>
  </xdr:twoCellAnchor>
  <xdr:twoCellAnchor>
    <xdr:from>
      <xdr:col>2</xdr:col>
      <xdr:colOff>1562100</xdr:colOff>
      <xdr:row>24</xdr:row>
      <xdr:rowOff>190500</xdr:rowOff>
    </xdr:from>
    <xdr:to>
      <xdr:col>2</xdr:col>
      <xdr:colOff>2343150</xdr:colOff>
      <xdr:row>26</xdr:row>
      <xdr:rowOff>85725</xdr:rowOff>
    </xdr:to>
    <xdr:sp macro="" textlink="">
      <xdr:nvSpPr>
        <xdr:cNvPr id="12" name="Text Box 13">
          <a:extLst>
            <a:ext uri="{FF2B5EF4-FFF2-40B4-BE49-F238E27FC236}">
              <a16:creationId xmlns:a16="http://schemas.microsoft.com/office/drawing/2014/main" id="{490841F7-2F49-460A-8C46-16DEA891466E}"/>
            </a:ext>
          </a:extLst>
        </xdr:cNvPr>
        <xdr:cNvSpPr txBox="1">
          <a:spLocks noChangeArrowheads="1"/>
        </xdr:cNvSpPr>
      </xdr:nvSpPr>
      <xdr:spPr bwMode="auto">
        <a:xfrm>
          <a:off x="4914900" y="5753100"/>
          <a:ext cx="781050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nb-NO" sz="1000" b="0" i="0" strike="noStrike">
              <a:solidFill>
                <a:srgbClr val="000000"/>
              </a:solidFill>
              <a:latin typeface="Arial"/>
              <a:cs typeface="Arial"/>
            </a:rPr>
            <a:t>JB's if fitted</a:t>
          </a:r>
        </a:p>
      </xdr:txBody>
    </xdr:sp>
    <xdr:clientData/>
  </xdr:twoCellAnchor>
  <xdr:twoCellAnchor>
    <xdr:from>
      <xdr:col>2</xdr:col>
      <xdr:colOff>828675</xdr:colOff>
      <xdr:row>22</xdr:row>
      <xdr:rowOff>47625</xdr:rowOff>
    </xdr:from>
    <xdr:to>
      <xdr:col>2</xdr:col>
      <xdr:colOff>1543050</xdr:colOff>
      <xdr:row>25</xdr:row>
      <xdr:rowOff>28575</xdr:rowOff>
    </xdr:to>
    <xdr:sp macro="" textlink="">
      <xdr:nvSpPr>
        <xdr:cNvPr id="13" name="Line 14">
          <a:extLst>
            <a:ext uri="{FF2B5EF4-FFF2-40B4-BE49-F238E27FC236}">
              <a16:creationId xmlns:a16="http://schemas.microsoft.com/office/drawing/2014/main" id="{6174EDFB-372F-45CE-A43C-EDF57F49312B}"/>
            </a:ext>
          </a:extLst>
        </xdr:cNvPr>
        <xdr:cNvSpPr>
          <a:spLocks noChangeShapeType="1"/>
        </xdr:cNvSpPr>
      </xdr:nvSpPr>
      <xdr:spPr bwMode="auto">
        <a:xfrm flipH="1" flipV="1">
          <a:off x="4181475" y="5191125"/>
          <a:ext cx="714375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1438275</xdr:colOff>
      <xdr:row>22</xdr:row>
      <xdr:rowOff>57150</xdr:rowOff>
    </xdr:from>
    <xdr:to>
      <xdr:col>2</xdr:col>
      <xdr:colOff>1628775</xdr:colOff>
      <xdr:row>24</xdr:row>
      <xdr:rowOff>180975</xdr:rowOff>
    </xdr:to>
    <xdr:sp macro="" textlink="">
      <xdr:nvSpPr>
        <xdr:cNvPr id="14" name="Line 15">
          <a:extLst>
            <a:ext uri="{FF2B5EF4-FFF2-40B4-BE49-F238E27FC236}">
              <a16:creationId xmlns:a16="http://schemas.microsoft.com/office/drawing/2014/main" id="{172796C2-06E9-43F0-A28B-B7AB233604D0}"/>
            </a:ext>
          </a:extLst>
        </xdr:cNvPr>
        <xdr:cNvSpPr>
          <a:spLocks noChangeShapeType="1"/>
        </xdr:cNvSpPr>
      </xdr:nvSpPr>
      <xdr:spPr bwMode="auto">
        <a:xfrm flipH="1" flipV="1">
          <a:off x="4791075" y="5200650"/>
          <a:ext cx="190500" cy="542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809625</xdr:colOff>
      <xdr:row>26</xdr:row>
      <xdr:rowOff>38100</xdr:rowOff>
    </xdr:from>
    <xdr:to>
      <xdr:col>2</xdr:col>
      <xdr:colOff>1552575</xdr:colOff>
      <xdr:row>28</xdr:row>
      <xdr:rowOff>190500</xdr:rowOff>
    </xdr:to>
    <xdr:sp macro="" textlink="">
      <xdr:nvSpPr>
        <xdr:cNvPr id="15" name="Line 16">
          <a:extLst>
            <a:ext uri="{FF2B5EF4-FFF2-40B4-BE49-F238E27FC236}">
              <a16:creationId xmlns:a16="http://schemas.microsoft.com/office/drawing/2014/main" id="{3F5FC7F6-D898-4AAC-B372-4AF05797E212}"/>
            </a:ext>
          </a:extLst>
        </xdr:cNvPr>
        <xdr:cNvSpPr>
          <a:spLocks noChangeShapeType="1"/>
        </xdr:cNvSpPr>
      </xdr:nvSpPr>
      <xdr:spPr bwMode="auto">
        <a:xfrm flipH="1">
          <a:off x="4162425" y="6000750"/>
          <a:ext cx="7429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1447800</xdr:colOff>
      <xdr:row>26</xdr:row>
      <xdr:rowOff>95250</xdr:rowOff>
    </xdr:from>
    <xdr:to>
      <xdr:col>2</xdr:col>
      <xdr:colOff>1638300</xdr:colOff>
      <xdr:row>28</xdr:row>
      <xdr:rowOff>152400</xdr:rowOff>
    </xdr:to>
    <xdr:sp macro="" textlink="">
      <xdr:nvSpPr>
        <xdr:cNvPr id="16" name="Line 17">
          <a:extLst>
            <a:ext uri="{FF2B5EF4-FFF2-40B4-BE49-F238E27FC236}">
              <a16:creationId xmlns:a16="http://schemas.microsoft.com/office/drawing/2014/main" id="{89C0343B-9970-4FDF-A444-45FF1D7EE0FE}"/>
            </a:ext>
          </a:extLst>
        </xdr:cNvPr>
        <xdr:cNvSpPr>
          <a:spLocks noChangeShapeType="1"/>
        </xdr:cNvSpPr>
      </xdr:nvSpPr>
      <xdr:spPr bwMode="auto">
        <a:xfrm flipH="1">
          <a:off x="4800600" y="6057900"/>
          <a:ext cx="19050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2</xdr:col>
      <xdr:colOff>0</xdr:colOff>
      <xdr:row>3883</xdr:row>
      <xdr:rowOff>0</xdr:rowOff>
    </xdr:from>
    <xdr:to>
      <xdr:col>2</xdr:col>
      <xdr:colOff>1714500</xdr:colOff>
      <xdr:row>3887</xdr:row>
      <xdr:rowOff>0</xdr:rowOff>
    </xdr:to>
    <xdr:pic>
      <xdr:nvPicPr>
        <xdr:cNvPr id="17" name="Bilde 16" descr="Norex logo med Ex-leverandor.tif">
          <a:extLst>
            <a:ext uri="{FF2B5EF4-FFF2-40B4-BE49-F238E27FC236}">
              <a16:creationId xmlns:a16="http://schemas.microsoft.com/office/drawing/2014/main" id="{2EE27D38-1648-47BC-892D-D3205A951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52800" y="633060075"/>
          <a:ext cx="171450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chlumberger\CTP-036%20Statoil%20Mariner%20-%20Shared%20Documents%20(1)\3%20EXEC\DOC\MISC\Electrical\Transformer%20Related\IS%20Calculations%20Statoil%20Workshee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Index1"/>
      <sheetName val="Conversion"/>
      <sheetName val="IS calculations"/>
    </sheetNames>
    <sheetDataSet>
      <sheetData sheetId="0" refreshError="1"/>
      <sheetData sheetId="1" refreshError="1"/>
      <sheetData sheetId="2">
        <row r="1">
          <cell r="B1" t="str">
            <v>p (pico)</v>
          </cell>
          <cell r="C1" t="str">
            <v>n (nano)</v>
          </cell>
          <cell r="D1" t="str">
            <v>µ (micro)</v>
          </cell>
          <cell r="E1" t="str">
            <v>m (milli)</v>
          </cell>
          <cell r="F1" t="str">
            <v>Normal</v>
          </cell>
          <cell r="G1" t="str">
            <v>k (kilo)</v>
          </cell>
          <cell r="H1" t="str">
            <v>M (mega)</v>
          </cell>
          <cell r="I1" t="str">
            <v>G (Giga)</v>
          </cell>
          <cell r="J1" t="str">
            <v>T (Tera)</v>
          </cell>
        </row>
        <row r="2">
          <cell r="A2" t="str">
            <v>p (pico)</v>
          </cell>
        </row>
        <row r="3">
          <cell r="A3" t="str">
            <v>n (nano)</v>
          </cell>
        </row>
        <row r="4">
          <cell r="A4" t="str">
            <v>µ (micro)</v>
          </cell>
        </row>
        <row r="5">
          <cell r="A5" t="str">
            <v>m (milli)</v>
          </cell>
        </row>
        <row r="6">
          <cell r="A6" t="str">
            <v>Normal</v>
          </cell>
        </row>
        <row r="7">
          <cell r="A7" t="str">
            <v>k (kilo)</v>
          </cell>
        </row>
        <row r="8">
          <cell r="A8" t="str">
            <v>M (mega)</v>
          </cell>
        </row>
        <row r="9">
          <cell r="A9" t="str">
            <v>G (Giga)</v>
          </cell>
        </row>
        <row r="10">
          <cell r="A10" t="str">
            <v>T (Tera)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CCFF" mc:Ignorable="a14" a14:legacySpreadsheetColorIndex="4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280000" mc:Ignorable="a14" a14:legacySpreadsheetColorIndex="4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1"/>
  <sheetViews>
    <sheetView tabSelected="1" view="pageBreakPreview" zoomScale="70" zoomScaleNormal="75" zoomScaleSheetLayoutView="70" zoomScalePageLayoutView="85" workbookViewId="0">
      <selection activeCell="O45" sqref="O45"/>
    </sheetView>
  </sheetViews>
  <sheetFormatPr defaultColWidth="9.1796875" defaultRowHeight="12.5"/>
  <cols>
    <col min="1" max="1" width="17" style="88" customWidth="1"/>
    <col min="2" max="2" width="30.81640625" style="89" customWidth="1"/>
    <col min="3" max="3" width="37.7265625" style="1" customWidth="1"/>
    <col min="4" max="4" width="9.7265625" style="88" customWidth="1"/>
    <col min="5" max="5" width="9" style="1" customWidth="1"/>
    <col min="6" max="6" width="9.453125" style="1" customWidth="1"/>
    <col min="7" max="7" width="11.453125" style="1" customWidth="1"/>
    <col min="8" max="8" width="12.81640625" style="89" customWidth="1"/>
    <col min="9" max="16384" width="9.1796875" style="1"/>
  </cols>
  <sheetData>
    <row r="1" spans="1:8" ht="54" customHeight="1" thickBot="1">
      <c r="A1" s="104" t="s">
        <v>45</v>
      </c>
      <c r="B1" s="105"/>
      <c r="C1" s="92" t="s">
        <v>2</v>
      </c>
      <c r="D1" s="93" t="s">
        <v>44</v>
      </c>
      <c r="E1" s="93"/>
      <c r="F1" s="93"/>
      <c r="G1" s="93"/>
      <c r="H1" s="94"/>
    </row>
    <row r="2" spans="1:8" s="8" customFormat="1" ht="22.5" customHeight="1">
      <c r="A2" s="2" t="s">
        <v>3</v>
      </c>
      <c r="B2" s="3"/>
      <c r="C2" s="4"/>
      <c r="D2" s="5"/>
      <c r="E2" s="6"/>
      <c r="F2" s="6"/>
      <c r="G2" s="6"/>
      <c r="H2" s="7"/>
    </row>
    <row r="3" spans="1:8" ht="15.75" customHeight="1">
      <c r="A3" s="9"/>
      <c r="B3" s="3"/>
      <c r="C3" s="6"/>
      <c r="D3" s="5"/>
      <c r="E3" s="6"/>
      <c r="F3" s="6"/>
      <c r="G3" s="6"/>
      <c r="H3" s="7"/>
    </row>
    <row r="4" spans="1:8" ht="19.5" customHeight="1">
      <c r="A4" s="9" t="s">
        <v>0</v>
      </c>
      <c r="B4" s="10" t="s">
        <v>39</v>
      </c>
      <c r="C4" s="6"/>
      <c r="D4" s="5" t="s">
        <v>4</v>
      </c>
      <c r="E4" s="10" t="s">
        <v>40</v>
      </c>
      <c r="F4" s="11"/>
      <c r="G4" s="6"/>
      <c r="H4" s="7"/>
    </row>
    <row r="5" spans="1:8">
      <c r="A5" s="9"/>
      <c r="B5" s="3"/>
      <c r="C5" s="6"/>
      <c r="D5" s="5"/>
      <c r="E5" s="6"/>
      <c r="F5" s="6"/>
      <c r="G5" s="6"/>
      <c r="H5" s="7"/>
    </row>
    <row r="6" spans="1:8" ht="18.75" customHeight="1">
      <c r="A6" s="9" t="s">
        <v>6</v>
      </c>
      <c r="B6" s="10" t="s">
        <v>1</v>
      </c>
      <c r="C6" s="6"/>
      <c r="D6" s="5" t="s">
        <v>7</v>
      </c>
      <c r="E6" s="10" t="s">
        <v>8</v>
      </c>
      <c r="F6" s="6"/>
      <c r="G6" s="6"/>
      <c r="H6" s="7"/>
    </row>
    <row r="7" spans="1:8">
      <c r="A7" s="9"/>
      <c r="B7" s="3"/>
      <c r="C7" s="6"/>
      <c r="D7" s="5"/>
      <c r="E7" s="6"/>
      <c r="F7" s="6"/>
      <c r="G7" s="6"/>
      <c r="H7" s="7"/>
    </row>
    <row r="8" spans="1:8" ht="33.75" customHeight="1">
      <c r="A8" s="9" t="s">
        <v>9</v>
      </c>
      <c r="B8" s="90" t="s">
        <v>41</v>
      </c>
      <c r="C8" s="6"/>
      <c r="D8" s="5"/>
      <c r="E8" s="6"/>
      <c r="F8" s="6"/>
      <c r="G8" s="6"/>
      <c r="H8" s="7"/>
    </row>
    <row r="9" spans="1:8">
      <c r="A9" s="9"/>
      <c r="B9" s="3"/>
      <c r="C9" s="6"/>
      <c r="D9" s="12" t="s">
        <v>10</v>
      </c>
      <c r="E9" s="12" t="s">
        <v>11</v>
      </c>
      <c r="F9" s="12" t="s">
        <v>12</v>
      </c>
      <c r="G9" s="13" t="s">
        <v>13</v>
      </c>
      <c r="H9" s="14" t="s">
        <v>14</v>
      </c>
    </row>
    <row r="10" spans="1:8" ht="18.75" customHeight="1">
      <c r="A10" s="9" t="s">
        <v>15</v>
      </c>
      <c r="B10" s="10" t="s">
        <v>43</v>
      </c>
      <c r="C10" s="6"/>
      <c r="D10" s="15">
        <v>10</v>
      </c>
      <c r="E10" s="15">
        <v>14.1</v>
      </c>
      <c r="F10" s="91">
        <v>3.3700000000000001E-2</v>
      </c>
      <c r="G10" s="16">
        <v>3</v>
      </c>
      <c r="H10" s="17">
        <v>100</v>
      </c>
    </row>
    <row r="11" spans="1:8" ht="18.75" customHeight="1">
      <c r="A11" s="9"/>
      <c r="B11" s="18"/>
      <c r="C11" s="6"/>
      <c r="D11" s="19" t="s">
        <v>16</v>
      </c>
      <c r="E11" s="20"/>
      <c r="F11" s="20"/>
      <c r="G11" s="20"/>
      <c r="H11" s="21"/>
    </row>
    <row r="12" spans="1:8" ht="18.75" customHeight="1" thickBot="1">
      <c r="A12" s="22"/>
      <c r="B12" s="23"/>
      <c r="C12" s="24"/>
      <c r="D12" s="25" t="s">
        <v>17</v>
      </c>
      <c r="E12" s="26"/>
      <c r="F12" s="26"/>
      <c r="G12" s="26"/>
      <c r="H12" s="27"/>
    </row>
    <row r="13" spans="1:8" ht="13" thickTop="1">
      <c r="A13" s="28"/>
      <c r="B13" s="29"/>
      <c r="C13" s="30"/>
      <c r="D13" s="31"/>
      <c r="E13" s="30"/>
      <c r="F13" s="30"/>
      <c r="G13" s="30"/>
      <c r="H13" s="32"/>
    </row>
    <row r="14" spans="1:8" ht="24" customHeight="1">
      <c r="A14" s="33" t="s">
        <v>18</v>
      </c>
      <c r="B14" s="29"/>
      <c r="C14" s="30"/>
      <c r="D14" s="31"/>
      <c r="E14" s="30"/>
      <c r="F14" s="30"/>
      <c r="G14" s="30"/>
      <c r="H14" s="32"/>
    </row>
    <row r="15" spans="1:8" ht="15.5">
      <c r="A15" s="28"/>
      <c r="B15" s="29"/>
      <c r="C15" s="30"/>
      <c r="D15" s="31"/>
      <c r="E15" s="30"/>
      <c r="F15" s="34" t="s">
        <v>19</v>
      </c>
      <c r="G15" s="30"/>
      <c r="H15" s="32"/>
    </row>
    <row r="16" spans="1:8" ht="19.5" customHeight="1">
      <c r="A16" s="28" t="s">
        <v>20</v>
      </c>
      <c r="B16" s="35">
        <v>5</v>
      </c>
      <c r="C16" s="30"/>
      <c r="D16" s="31"/>
      <c r="E16" s="30"/>
      <c r="F16" s="30"/>
      <c r="G16" s="30"/>
      <c r="H16" s="32"/>
    </row>
    <row r="17" spans="1:8">
      <c r="A17" s="28"/>
      <c r="B17" s="29"/>
      <c r="C17" s="30"/>
      <c r="D17" s="31"/>
      <c r="E17" s="30"/>
      <c r="F17" s="30"/>
      <c r="G17" s="30"/>
      <c r="H17" s="32"/>
    </row>
    <row r="18" spans="1:8" ht="19.5" customHeight="1">
      <c r="A18" s="28" t="s">
        <v>21</v>
      </c>
      <c r="B18" s="35">
        <v>2.0000000000000001E-4</v>
      </c>
      <c r="C18" s="30"/>
      <c r="D18" s="31"/>
      <c r="E18" s="30"/>
      <c r="F18" s="35">
        <f>SUM(B16*B18)</f>
        <v>1E-3</v>
      </c>
      <c r="G18" s="36" t="s">
        <v>22</v>
      </c>
      <c r="H18" s="32"/>
    </row>
    <row r="19" spans="1:8">
      <c r="A19" s="28"/>
      <c r="B19" s="29"/>
      <c r="C19" s="30"/>
      <c r="D19" s="31"/>
      <c r="E19" s="30"/>
      <c r="F19" s="30"/>
      <c r="G19" s="30"/>
      <c r="H19" s="32"/>
    </row>
    <row r="20" spans="1:8" ht="18.75" customHeight="1">
      <c r="A20" s="28" t="s">
        <v>23</v>
      </c>
      <c r="B20" s="35">
        <v>1E-3</v>
      </c>
      <c r="C20" s="30"/>
      <c r="D20" s="31"/>
      <c r="E20" s="30"/>
      <c r="F20" s="35">
        <f>SUM(B16*B20)</f>
        <v>5.0000000000000001E-3</v>
      </c>
      <c r="G20" s="37" t="s">
        <v>24</v>
      </c>
      <c r="H20" s="32"/>
    </row>
    <row r="21" spans="1:8">
      <c r="A21" s="38"/>
      <c r="B21" s="39"/>
      <c r="C21" s="40"/>
      <c r="D21" s="41"/>
      <c r="E21" s="42"/>
      <c r="F21" s="42"/>
      <c r="G21" s="42"/>
      <c r="H21" s="43"/>
    </row>
    <row r="22" spans="1:8">
      <c r="A22" s="28"/>
      <c r="B22" s="29"/>
      <c r="C22" s="30"/>
      <c r="D22" s="31"/>
      <c r="E22" s="30"/>
      <c r="F22" s="30"/>
      <c r="G22" s="30"/>
      <c r="H22" s="32"/>
    </row>
    <row r="23" spans="1:8" ht="18" customHeight="1">
      <c r="A23" s="33" t="s">
        <v>18</v>
      </c>
      <c r="B23" s="29"/>
      <c r="C23" s="30"/>
      <c r="D23" s="31"/>
      <c r="E23" s="30"/>
      <c r="F23" s="30"/>
      <c r="G23" s="30"/>
      <c r="H23" s="32"/>
    </row>
    <row r="24" spans="1:8" ht="15.5">
      <c r="A24" s="28"/>
      <c r="B24" s="29"/>
      <c r="C24" s="30"/>
      <c r="D24" s="31"/>
      <c r="E24" s="30"/>
      <c r="F24" s="34" t="s">
        <v>19</v>
      </c>
      <c r="G24" s="30"/>
      <c r="H24" s="32"/>
    </row>
    <row r="25" spans="1:8" ht="18.75" customHeight="1">
      <c r="A25" s="28" t="s">
        <v>20</v>
      </c>
      <c r="B25" s="35">
        <v>100</v>
      </c>
      <c r="C25" s="30"/>
      <c r="D25" s="31"/>
      <c r="E25" s="30"/>
      <c r="F25" s="30"/>
      <c r="G25" s="30"/>
      <c r="H25" s="32"/>
    </row>
    <row r="26" spans="1:8">
      <c r="A26" s="28"/>
      <c r="B26" s="29"/>
      <c r="C26" s="30"/>
      <c r="D26" s="31"/>
      <c r="E26" s="30"/>
      <c r="F26" s="30"/>
      <c r="G26" s="30"/>
      <c r="H26" s="32"/>
    </row>
    <row r="27" spans="1:8" ht="19.5" customHeight="1">
      <c r="A27" s="28" t="s">
        <v>21</v>
      </c>
      <c r="B27" s="35">
        <v>1.1E-4</v>
      </c>
      <c r="C27" s="30"/>
      <c r="D27" s="31"/>
      <c r="E27" s="30"/>
      <c r="F27" s="35">
        <f>SUM(B25*B27)</f>
        <v>1.1000000000000001E-2</v>
      </c>
      <c r="G27" s="36" t="s">
        <v>22</v>
      </c>
      <c r="H27" s="32"/>
    </row>
    <row r="28" spans="1:8" ht="15.5">
      <c r="A28" s="28"/>
      <c r="B28" s="29"/>
      <c r="C28" s="30"/>
      <c r="D28" s="31"/>
      <c r="E28" s="30"/>
      <c r="F28" s="37"/>
      <c r="G28" s="37"/>
      <c r="H28" s="32"/>
    </row>
    <row r="29" spans="1:8" ht="19.5" customHeight="1">
      <c r="A29" s="28" t="s">
        <v>23</v>
      </c>
      <c r="B29" s="35">
        <v>6.7000000000000002E-4</v>
      </c>
      <c r="C29" s="30"/>
      <c r="D29" s="31"/>
      <c r="E29" s="30"/>
      <c r="F29" s="35">
        <f>SUM(B25*B29)</f>
        <v>6.7000000000000004E-2</v>
      </c>
      <c r="G29" s="37" t="s">
        <v>24</v>
      </c>
      <c r="H29" s="32"/>
    </row>
    <row r="30" spans="1:8">
      <c r="A30" s="38"/>
      <c r="B30" s="39"/>
      <c r="C30" s="44"/>
      <c r="D30" s="41"/>
      <c r="E30" s="42"/>
      <c r="F30" s="42"/>
      <c r="G30" s="42"/>
      <c r="H30" s="43"/>
    </row>
    <row r="31" spans="1:8">
      <c r="A31" s="28"/>
      <c r="B31" s="29"/>
      <c r="C31" s="30"/>
      <c r="D31" s="31"/>
      <c r="E31" s="30"/>
      <c r="F31" s="30"/>
      <c r="G31" s="30"/>
      <c r="H31" s="32"/>
    </row>
    <row r="32" spans="1:8" ht="19.5" customHeight="1">
      <c r="A32" s="33" t="s">
        <v>18</v>
      </c>
      <c r="B32" s="29"/>
      <c r="C32" s="30"/>
      <c r="D32" s="31"/>
      <c r="E32" s="30"/>
      <c r="F32" s="30"/>
      <c r="G32" s="30"/>
      <c r="H32" s="32"/>
    </row>
    <row r="33" spans="1:15" ht="15.5">
      <c r="A33" s="28"/>
      <c r="B33" s="29"/>
      <c r="C33" s="30"/>
      <c r="D33" s="31"/>
      <c r="E33" s="30"/>
      <c r="F33" s="34" t="s">
        <v>19</v>
      </c>
      <c r="G33" s="37"/>
      <c r="H33" s="32"/>
    </row>
    <row r="34" spans="1:15" ht="19.5" customHeight="1">
      <c r="A34" s="28" t="s">
        <v>20</v>
      </c>
      <c r="B34" s="35">
        <v>0</v>
      </c>
      <c r="C34" s="30"/>
      <c r="D34" s="31"/>
      <c r="E34" s="30"/>
      <c r="F34" s="37"/>
      <c r="G34" s="37"/>
      <c r="H34" s="32"/>
    </row>
    <row r="35" spans="1:15" ht="15.5">
      <c r="A35" s="28"/>
      <c r="B35" s="29"/>
      <c r="C35" s="30"/>
      <c r="D35" s="31"/>
      <c r="E35" s="30"/>
      <c r="F35" s="37"/>
      <c r="G35" s="37"/>
      <c r="H35" s="32"/>
    </row>
    <row r="36" spans="1:15" ht="19.5" customHeight="1">
      <c r="A36" s="28" t="s">
        <v>21</v>
      </c>
      <c r="B36" s="35">
        <v>0</v>
      </c>
      <c r="C36" s="30"/>
      <c r="D36" s="31"/>
      <c r="E36" s="30"/>
      <c r="F36" s="35">
        <f>SUM(B34*B36)</f>
        <v>0</v>
      </c>
      <c r="G36" s="36" t="s">
        <v>22</v>
      </c>
      <c r="H36" s="32"/>
    </row>
    <row r="37" spans="1:15" ht="15.5">
      <c r="A37" s="28"/>
      <c r="B37" s="29"/>
      <c r="C37" s="30"/>
      <c r="D37" s="31"/>
      <c r="E37" s="30"/>
      <c r="F37" s="37"/>
      <c r="G37" s="37"/>
      <c r="H37" s="32"/>
    </row>
    <row r="38" spans="1:15" ht="18.75" customHeight="1">
      <c r="A38" s="28" t="s">
        <v>23</v>
      </c>
      <c r="B38" s="35">
        <v>0</v>
      </c>
      <c r="C38" s="30"/>
      <c r="D38" s="31"/>
      <c r="E38" s="30"/>
      <c r="F38" s="35">
        <f>SUM(B34*B38)</f>
        <v>0</v>
      </c>
      <c r="G38" s="37" t="s">
        <v>24</v>
      </c>
      <c r="H38" s="32"/>
    </row>
    <row r="39" spans="1:15" ht="13" thickBot="1">
      <c r="A39" s="45"/>
      <c r="B39" s="46"/>
      <c r="C39" s="47"/>
      <c r="D39" s="48"/>
      <c r="E39" s="49"/>
      <c r="F39" s="49"/>
      <c r="G39" s="49"/>
      <c r="H39" s="50"/>
    </row>
    <row r="40" spans="1:15" ht="13" thickTop="1">
      <c r="A40" s="51"/>
      <c r="B40" s="52"/>
      <c r="C40" s="53"/>
      <c r="D40" s="54"/>
      <c r="E40" s="53"/>
      <c r="F40" s="53"/>
      <c r="G40" s="53"/>
      <c r="H40" s="55"/>
    </row>
    <row r="41" spans="1:15" ht="21" customHeight="1">
      <c r="A41" s="56" t="s">
        <v>25</v>
      </c>
      <c r="B41" s="52"/>
      <c r="C41" s="53"/>
      <c r="D41" s="57" t="s">
        <v>26</v>
      </c>
      <c r="E41" s="58"/>
      <c r="F41" s="58"/>
      <c r="G41" s="53"/>
      <c r="H41" s="59"/>
    </row>
    <row r="42" spans="1:15">
      <c r="A42" s="51"/>
      <c r="B42" s="52"/>
      <c r="C42" s="53"/>
      <c r="D42" s="60" t="s">
        <v>27</v>
      </c>
      <c r="E42" s="60" t="s">
        <v>28</v>
      </c>
      <c r="F42" s="60" t="s">
        <v>29</v>
      </c>
      <c r="G42" s="60" t="s">
        <v>30</v>
      </c>
      <c r="H42" s="61" t="s">
        <v>31</v>
      </c>
    </row>
    <row r="43" spans="1:15" ht="18.75" customHeight="1">
      <c r="A43" s="51" t="s">
        <v>0</v>
      </c>
      <c r="B43" s="62" t="s">
        <v>37</v>
      </c>
      <c r="C43" s="53"/>
      <c r="D43" s="62">
        <v>16</v>
      </c>
      <c r="E43" s="62">
        <v>25</v>
      </c>
      <c r="F43" s="62">
        <v>6.4000000000000001E-2</v>
      </c>
      <c r="G43" s="62">
        <v>0.04</v>
      </c>
      <c r="H43" s="63">
        <v>0.05</v>
      </c>
      <c r="J43" s="64">
        <f>IF(H41&gt;0,100,D43)</f>
        <v>16</v>
      </c>
      <c r="K43" s="64">
        <f>IF(H41&gt;0,1000,E43)</f>
        <v>25</v>
      </c>
      <c r="L43" s="64">
        <f>IF(H41&gt;0,100,F43)</f>
        <v>6.4000000000000001E-2</v>
      </c>
      <c r="M43" s="65"/>
      <c r="N43" s="65"/>
      <c r="O43" s="65"/>
    </row>
    <row r="44" spans="1:15" ht="17.5">
      <c r="A44" s="51"/>
      <c r="B44" s="52"/>
      <c r="C44" s="53"/>
      <c r="D44" s="54"/>
      <c r="E44" s="53"/>
      <c r="F44" s="53"/>
      <c r="G44" s="66"/>
      <c r="H44" s="67"/>
    </row>
    <row r="45" spans="1:15" ht="19.5" customHeight="1">
      <c r="A45" s="51" t="s">
        <v>6</v>
      </c>
      <c r="B45" s="62" t="s">
        <v>36</v>
      </c>
      <c r="C45" s="53"/>
      <c r="D45" s="54" t="s">
        <v>4</v>
      </c>
      <c r="E45" s="62" t="s">
        <v>5</v>
      </c>
      <c r="F45" s="53"/>
      <c r="G45" s="60">
        <f>SUM(F18+F27+F36+G43)</f>
        <v>5.2000000000000005E-2</v>
      </c>
      <c r="H45" s="61">
        <f>SUM(F20+F29+F38+H43)</f>
        <v>0.12200000000000001</v>
      </c>
    </row>
    <row r="46" spans="1:15" ht="13" thickBot="1">
      <c r="A46" s="51"/>
      <c r="B46" s="52"/>
      <c r="C46" s="53"/>
      <c r="D46" s="54"/>
      <c r="E46" s="53"/>
      <c r="F46" s="53"/>
      <c r="G46" s="53"/>
      <c r="H46" s="55"/>
    </row>
    <row r="47" spans="1:15" ht="18.75" customHeight="1" thickBot="1">
      <c r="A47" s="51" t="s">
        <v>9</v>
      </c>
      <c r="B47" s="62" t="s">
        <v>38</v>
      </c>
      <c r="C47" s="53"/>
      <c r="D47" s="68" t="str">
        <f>IF(J43&lt;D10,"'NO FIT'","'OK'")</f>
        <v>'OK'</v>
      </c>
      <c r="E47" s="68" t="str">
        <f>IF(K43&lt;E10,"'NO FIT'","'OK'")</f>
        <v>'OK'</v>
      </c>
      <c r="F47" s="68" t="str">
        <f>IF(L43&lt;F10,"'NO FIT'","'OK'")</f>
        <v>'OK'</v>
      </c>
      <c r="G47" s="68" t="str">
        <f>IF(G45&gt;G10,"'NO FIT'","'OK'")</f>
        <v>'OK'</v>
      </c>
      <c r="H47" s="68" t="str">
        <f>IF(H45&gt;H10,"'NO FIT'","'OK'")</f>
        <v>'OK'</v>
      </c>
    </row>
    <row r="48" spans="1:15">
      <c r="A48" s="51"/>
      <c r="B48" s="52"/>
      <c r="C48" s="53"/>
      <c r="D48" s="54"/>
      <c r="E48" s="53"/>
      <c r="F48" s="53"/>
      <c r="G48" s="53"/>
      <c r="H48" s="55"/>
    </row>
    <row r="49" spans="1:8" ht="18.75" customHeight="1">
      <c r="A49" s="51" t="s">
        <v>15</v>
      </c>
      <c r="B49" s="62" t="s">
        <v>42</v>
      </c>
      <c r="C49" s="53"/>
      <c r="D49" s="54"/>
      <c r="E49" s="53"/>
      <c r="F49" s="53"/>
      <c r="G49" s="53"/>
      <c r="H49" s="55"/>
    </row>
    <row r="50" spans="1:8" ht="18.75" customHeight="1" thickBot="1">
      <c r="A50" s="69"/>
      <c r="B50" s="70"/>
      <c r="C50" s="71"/>
      <c r="D50" s="72"/>
      <c r="E50" s="71"/>
      <c r="F50" s="71"/>
      <c r="G50" s="73"/>
      <c r="H50" s="74"/>
    </row>
    <row r="51" spans="1:8" ht="3" customHeight="1" thickBot="1">
      <c r="A51" s="75"/>
      <c r="B51" s="76"/>
      <c r="C51" s="76"/>
      <c r="D51" s="76"/>
      <c r="E51" s="76"/>
      <c r="F51" s="76"/>
      <c r="G51" s="76"/>
      <c r="H51" s="77"/>
    </row>
    <row r="52" spans="1:8" ht="26.25" customHeight="1" thickBot="1">
      <c r="A52" s="78" t="s">
        <v>32</v>
      </c>
      <c r="B52" s="79"/>
      <c r="C52" s="80" t="s">
        <v>8</v>
      </c>
      <c r="D52" s="81"/>
      <c r="E52" s="81"/>
      <c r="F52" s="81"/>
      <c r="G52" s="81"/>
      <c r="H52" s="82"/>
    </row>
    <row r="53" spans="1:8" ht="24.75" customHeight="1" thickBot="1">
      <c r="A53" s="83" t="s">
        <v>33</v>
      </c>
      <c r="B53" s="79"/>
      <c r="C53" s="80" t="s">
        <v>46</v>
      </c>
      <c r="D53" s="81"/>
      <c r="E53" s="81"/>
      <c r="F53" s="81"/>
      <c r="G53" s="81"/>
      <c r="H53" s="82"/>
    </row>
    <row r="54" spans="1:8" ht="3" customHeight="1">
      <c r="A54" s="83"/>
      <c r="B54" s="79"/>
      <c r="C54" s="79"/>
      <c r="D54" s="81"/>
      <c r="E54" s="81"/>
      <c r="F54" s="81"/>
      <c r="G54" s="81"/>
      <c r="H54" s="82"/>
    </row>
    <row r="55" spans="1:8" ht="16.5" customHeight="1" thickBot="1">
      <c r="A55" s="95" t="s">
        <v>34</v>
      </c>
      <c r="B55" s="96"/>
      <c r="C55" s="96"/>
      <c r="D55" s="96"/>
      <c r="E55" s="96"/>
      <c r="F55" s="96"/>
      <c r="G55" s="96"/>
      <c r="H55" s="97"/>
    </row>
    <row r="56" spans="1:8" ht="27" customHeight="1">
      <c r="A56" s="84"/>
      <c r="B56" s="6"/>
      <c r="C56" s="98" t="s">
        <v>35</v>
      </c>
      <c r="D56" s="99"/>
      <c r="E56" s="99"/>
      <c r="F56" s="99"/>
      <c r="G56" s="99"/>
      <c r="H56" s="100"/>
    </row>
    <row r="57" spans="1:8" ht="28.5" customHeight="1">
      <c r="A57" s="84"/>
      <c r="B57" s="85"/>
      <c r="C57" s="98"/>
      <c r="D57" s="99"/>
      <c r="E57" s="99"/>
      <c r="F57" s="99"/>
      <c r="G57" s="99"/>
      <c r="H57" s="100"/>
    </row>
    <row r="58" spans="1:8" ht="24.75" customHeight="1">
      <c r="A58" s="84"/>
      <c r="B58" s="6"/>
      <c r="C58" s="98"/>
      <c r="D58" s="99"/>
      <c r="E58" s="99"/>
      <c r="F58" s="99"/>
      <c r="G58" s="99"/>
      <c r="H58" s="100"/>
    </row>
    <row r="59" spans="1:8" ht="21.75" customHeight="1">
      <c r="A59" s="84"/>
      <c r="B59" s="6"/>
      <c r="C59" s="98"/>
      <c r="D59" s="99"/>
      <c r="E59" s="99"/>
      <c r="F59" s="99"/>
      <c r="G59" s="99"/>
      <c r="H59" s="100"/>
    </row>
    <row r="60" spans="1:8" ht="21.75" customHeight="1" thickBot="1">
      <c r="A60" s="86"/>
      <c r="B60" s="87"/>
      <c r="C60" s="101"/>
      <c r="D60" s="102"/>
      <c r="E60" s="102"/>
      <c r="F60" s="102"/>
      <c r="G60" s="102"/>
      <c r="H60" s="103"/>
    </row>
    <row r="61" spans="1:8">
      <c r="A61" s="1"/>
      <c r="B61" s="1"/>
      <c r="D61" s="1"/>
      <c r="H61" s="1"/>
    </row>
    <row r="62" spans="1:8">
      <c r="B62" s="1"/>
      <c r="D62" s="1"/>
      <c r="H62" s="1"/>
    </row>
    <row r="63" spans="1:8">
      <c r="B63" s="1"/>
      <c r="D63" s="1"/>
      <c r="H63" s="1"/>
    </row>
    <row r="64" spans="1:8">
      <c r="B64" s="1"/>
      <c r="D64" s="1"/>
      <c r="H64" s="1"/>
    </row>
    <row r="65" spans="2:8">
      <c r="B65" s="1"/>
      <c r="D65" s="1"/>
      <c r="H65" s="1"/>
    </row>
    <row r="66" spans="2:8">
      <c r="B66" s="1"/>
      <c r="D66" s="1"/>
      <c r="H66" s="1"/>
    </row>
    <row r="67" spans="2:8">
      <c r="B67" s="1"/>
      <c r="D67" s="1"/>
      <c r="H67" s="1"/>
    </row>
    <row r="68" spans="2:8">
      <c r="B68" s="1"/>
      <c r="D68" s="1"/>
      <c r="H68" s="1"/>
    </row>
    <row r="69" spans="2:8">
      <c r="B69" s="1"/>
      <c r="D69" s="1"/>
      <c r="H69" s="1"/>
    </row>
    <row r="70" spans="2:8">
      <c r="B70" s="1"/>
      <c r="D70" s="1"/>
      <c r="H70" s="1"/>
    </row>
    <row r="71" spans="2:8">
      <c r="B71" s="1"/>
      <c r="D71" s="1"/>
      <c r="H71" s="1"/>
    </row>
  </sheetData>
  <mergeCells count="4">
    <mergeCell ref="D1:H1"/>
    <mergeCell ref="A55:H55"/>
    <mergeCell ref="C56:H60"/>
    <mergeCell ref="A1:B1"/>
  </mergeCells>
  <conditionalFormatting sqref="D47:H47">
    <cfRule type="cellIs" dxfId="4" priority="1" stopIfTrue="1" operator="equal">
      <formula>"'OK'"</formula>
    </cfRule>
  </conditionalFormatting>
  <conditionalFormatting sqref="G45">
    <cfRule type="cellIs" dxfId="3" priority="2" stopIfTrue="1" operator="lessThanOrEqual">
      <formula>$G$10</formula>
    </cfRule>
    <cfRule type="cellIs" dxfId="2" priority="3" stopIfTrue="1" operator="greaterThan">
      <formula>$G$10</formula>
    </cfRule>
  </conditionalFormatting>
  <conditionalFormatting sqref="H45">
    <cfRule type="cellIs" dxfId="1" priority="4" stopIfTrue="1" operator="lessThanOrEqual">
      <formula>$H$10</formula>
    </cfRule>
    <cfRule type="cellIs" dxfId="0" priority="5" stopIfTrue="1" operator="greaterThan">
      <formula>$H$10</formula>
    </cfRule>
  </conditionalFormatting>
  <dataValidations count="2">
    <dataValidation type="time" allowBlank="1" showInputMessage="1" showErrorMessage="1" sqref="A55" xr:uid="{00000000-0002-0000-0300-000000000000}">
      <formula1>0.0451388888888889</formula1>
      <formula2>0.0479166666666667</formula2>
    </dataValidation>
    <dataValidation type="time" allowBlank="1" showInputMessage="1" showErrorMessage="1" sqref="B2:B3 H47:H54 G51:G54 G47:G49 E5 D5:D7 E7 B12:B15 B17 B19 B21:B24 B26 B28 B30:B33 B35 B37 B39:B42 B9 A2:A54 D47:F54 D44:E44 B51:B54 C2:C50 G8:H8 D2:E3 D8:F9 A61:H65536 B5 J43:L43 F2:H7 E13:F41 J44:N65536 I1:I1048576 O1:IV1048576 J2:N42 D13:D40 D46:E46 D11:H12 G45:H46 G13:H40 F44:F46 B7 B44 B46 B48" xr:uid="{00000000-0002-0000-0300-000001000000}">
      <formula1>0.0416666666666667</formula1>
      <formula2>0.0451388888888889</formula2>
    </dataValidation>
  </dataValidations>
  <printOptions horizontalCentered="1"/>
  <pageMargins left="0.39370078740157483" right="0.39370078740157483" top="0.51181102362204722" bottom="0.51181102362204722" header="0.51181102362204722" footer="0.51181102362204722"/>
  <pageSetup paperSize="9" scale="70" orientation="portrait" r:id="rId1"/>
  <headerFooter alignWithMargins="0"/>
  <drawing r:id="rId2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 Calculation Worksheet</dc:title>
  <dc:creator>Mark Pirie</dc:creator>
  <cp:lastModifiedBy>Mark Pirie</cp:lastModifiedBy>
  <cp:lastPrinted>2018-04-25T14:25:14Z</cp:lastPrinted>
  <dcterms:created xsi:type="dcterms:W3CDTF">2001-06-12T08:12:52Z</dcterms:created>
  <dcterms:modified xsi:type="dcterms:W3CDTF">2026-07-10T14:06:45Z</dcterms:modified>
</cp:coreProperties>
</file>